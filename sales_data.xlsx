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uni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3" i="1"/>
  <c r="K6" i="1"/>
  <c r="K5" i="1"/>
  <c r="K4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<sst xmlns="http://schemas.openxmlformats.org/spreadsheetml/2006/main" count="111" uniqueCount="46">
  <si>
    <t>OrderID</t>
  </si>
  <si>
    <t>Date</t>
  </si>
  <si>
    <t>Category</t>
  </si>
  <si>
    <t>Product</t>
  </si>
  <si>
    <t>Region</t>
  </si>
  <si>
    <t>Payment</t>
  </si>
  <si>
    <t>Quantity</t>
  </si>
  <si>
    <t>Price</t>
  </si>
  <si>
    <t>Electronics</t>
  </si>
  <si>
    <t>Phone</t>
  </si>
  <si>
    <t>South</t>
  </si>
  <si>
    <t>Card</t>
  </si>
  <si>
    <t>Fashion</t>
  </si>
  <si>
    <t>Shirt</t>
  </si>
  <si>
    <t>North</t>
  </si>
  <si>
    <t>Cash</t>
  </si>
  <si>
    <t>Grocery</t>
  </si>
  <si>
    <t>Rice</t>
  </si>
  <si>
    <t>UPI</t>
  </si>
  <si>
    <t>Laptop</t>
  </si>
  <si>
    <t>West</t>
  </si>
  <si>
    <t>Jeans</t>
  </si>
  <si>
    <t>East</t>
  </si>
  <si>
    <t>Oil</t>
  </si>
  <si>
    <t>Headphones</t>
  </si>
  <si>
    <t>T-Shirt</t>
  </si>
  <si>
    <t>Wheat</t>
  </si>
  <si>
    <t>Tablet</t>
  </si>
  <si>
    <t>Jacket</t>
  </si>
  <si>
    <t>Sugar</t>
  </si>
  <si>
    <t>Monitor</t>
  </si>
  <si>
    <t>Shoes</t>
  </si>
  <si>
    <t>Salt</t>
  </si>
  <si>
    <t>Mouse</t>
  </si>
  <si>
    <t>Cap</t>
  </si>
  <si>
    <t>Milk</t>
  </si>
  <si>
    <t>Keyboard</t>
  </si>
  <si>
    <t>Belt</t>
  </si>
  <si>
    <t>Tea</t>
  </si>
  <si>
    <t>Camera</t>
  </si>
  <si>
    <t>Socks</t>
  </si>
  <si>
    <t>Bread</t>
  </si>
  <si>
    <t>Speaker</t>
  </si>
  <si>
    <t>total sales cloumn</t>
  </si>
  <si>
    <t>Category sales</t>
  </si>
  <si>
    <t>Region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</si>
</sst>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6" totalsRowShown="0" headerRowDxfId="12" dataDxfId="11">
  <autoFilter ref="A1:K26"/>
  <tableColumns count="11">
    <tableColumn id="1" name="OrderID" dataDxfId="10"/>
    <tableColumn id="2" name="Date" dataDxfId="9"/>
    <tableColumn id="3" name="Category" dataDxfId="8"/>
    <tableColumn id="4" name="Product" dataDxfId="7"/>
    <tableColumn id="5" name="Region" dataDxfId="6"/>
    <tableColumn id="6" name="Payment" dataDxfId="5"/>
    <tableColumn id="7" name="Quantity" dataDxfId="4"/>
    <tableColumn id="8" name="Price" dataDxfId="3"/>
    <tableColumn id="9" name="total sales cloumn" dataDxfId="2">
      <calculatedColumnFormula>G2*H2</calculatedColumnFormula>
    </tableColumn>
    <tableColumn id="11" name="Category sales" dataDxfId="1">
      <calculatedColumnFormula>SUMIF(C:C,"Electronic",I:I)</calculatedColumnFormula>
    </tableColumn>
    <tableColumn id="13" name="Region s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K27" sqref="K27"/>
    </sheetView>
  </sheetViews>
  <sheetFormatPr defaultRowHeight="14.5" x14ac:dyDescent="0.35"/>
  <cols>
    <col min="1" max="1" width="14.90625" customWidth="1"/>
    <col min="2" max="2" width="16.26953125" customWidth="1"/>
    <col min="3" max="4" width="15.81640625" customWidth="1"/>
    <col min="5" max="5" width="12.54296875" customWidth="1"/>
    <col min="6" max="6" width="15.90625" customWidth="1"/>
    <col min="7" max="7" width="13.26953125" customWidth="1"/>
    <col min="8" max="8" width="10.81640625" customWidth="1"/>
    <col min="9" max="9" width="16.453125" customWidth="1"/>
    <col min="10" max="10" width="16" customWidth="1"/>
    <col min="11" max="11" width="13.089843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43</v>
      </c>
      <c r="J1" s="4" t="s">
        <v>44</v>
      </c>
      <c r="K1" s="4" t="s">
        <v>45</v>
      </c>
    </row>
    <row r="2" spans="1:11" x14ac:dyDescent="0.35">
      <c r="A2" s="2">
        <v>1</v>
      </c>
      <c r="B2" s="3">
        <v>46113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2">
        <v>20000</v>
      </c>
      <c r="I2" s="2">
        <f t="shared" ref="I2:I26" si="0">G2*H2</f>
        <v>40000</v>
      </c>
      <c r="J2" s="2">
        <f t="shared" ref="J2:J26" si="1">SUMIF(C:C,"Electronic",I:I)</f>
        <v>0</v>
      </c>
      <c r="K2" s="2">
        <f>SUMIF(E:E,"South",I:I)</f>
        <v>51800</v>
      </c>
    </row>
    <row r="3" spans="1:11" x14ac:dyDescent="0.35">
      <c r="A3" s="2">
        <v>2</v>
      </c>
      <c r="B3" s="3">
        <v>46114</v>
      </c>
      <c r="C3" s="2" t="s">
        <v>12</v>
      </c>
      <c r="D3" s="2" t="s">
        <v>13</v>
      </c>
      <c r="E3" s="2" t="s">
        <v>14</v>
      </c>
      <c r="F3" s="2" t="s">
        <v>15</v>
      </c>
      <c r="G3" s="2">
        <v>3</v>
      </c>
      <c r="H3" s="2">
        <v>800</v>
      </c>
      <c r="I3" s="2">
        <f t="shared" si="0"/>
        <v>2400</v>
      </c>
      <c r="J3" s="2">
        <f t="shared" si="1"/>
        <v>0</v>
      </c>
      <c r="K3" s="2">
        <f>SUMIF(E:E,"North",I:I)</f>
        <v>77030</v>
      </c>
    </row>
    <row r="4" spans="1:11" x14ac:dyDescent="0.35">
      <c r="A4" s="2">
        <v>3</v>
      </c>
      <c r="B4" s="3">
        <v>46114</v>
      </c>
      <c r="C4" s="2" t="s">
        <v>16</v>
      </c>
      <c r="D4" s="2" t="s">
        <v>17</v>
      </c>
      <c r="E4" s="2" t="s">
        <v>10</v>
      </c>
      <c r="F4" s="2" t="s">
        <v>18</v>
      </c>
      <c r="G4" s="2">
        <v>5</v>
      </c>
      <c r="H4" s="2">
        <v>60</v>
      </c>
      <c r="I4" s="2">
        <f t="shared" si="0"/>
        <v>300</v>
      </c>
      <c r="J4" s="2">
        <f t="shared" si="1"/>
        <v>0</v>
      </c>
      <c r="K4" s="2">
        <f>SUMIF(E:E,"South",I:I)</f>
        <v>51800</v>
      </c>
    </row>
    <row r="5" spans="1:11" x14ac:dyDescent="0.35">
      <c r="A5" s="2">
        <v>4</v>
      </c>
      <c r="B5" s="3">
        <v>46115</v>
      </c>
      <c r="C5" s="2" t="s">
        <v>8</v>
      </c>
      <c r="D5" s="2" t="s">
        <v>19</v>
      </c>
      <c r="E5" s="2" t="s">
        <v>20</v>
      </c>
      <c r="F5" s="2" t="s">
        <v>11</v>
      </c>
      <c r="G5" s="2">
        <v>1</v>
      </c>
      <c r="H5" s="2">
        <v>55000</v>
      </c>
      <c r="I5" s="2">
        <f t="shared" si="0"/>
        <v>55000</v>
      </c>
      <c r="J5" s="2">
        <f t="shared" si="1"/>
        <v>0</v>
      </c>
      <c r="K5" s="2">
        <f>SUMIF(E:E,"East",I:I)</f>
        <v>33740</v>
      </c>
    </row>
    <row r="6" spans="1:11" x14ac:dyDescent="0.35">
      <c r="A6" s="2">
        <v>5</v>
      </c>
      <c r="B6" s="3">
        <v>46116</v>
      </c>
      <c r="C6" s="2" t="s">
        <v>12</v>
      </c>
      <c r="D6" s="2" t="s">
        <v>21</v>
      </c>
      <c r="E6" s="2" t="s">
        <v>22</v>
      </c>
      <c r="F6" s="2" t="s">
        <v>18</v>
      </c>
      <c r="G6" s="2">
        <v>2</v>
      </c>
      <c r="H6" s="2">
        <v>1500</v>
      </c>
      <c r="I6" s="2">
        <f t="shared" si="0"/>
        <v>3000</v>
      </c>
      <c r="J6" s="2">
        <f t="shared" si="1"/>
        <v>0</v>
      </c>
      <c r="K6" s="2">
        <f>SUMIF(E:E,"East",I:I)</f>
        <v>33740</v>
      </c>
    </row>
    <row r="7" spans="1:11" x14ac:dyDescent="0.35">
      <c r="A7" s="2">
        <v>6</v>
      </c>
      <c r="B7" s="3">
        <v>46117</v>
      </c>
      <c r="C7" s="2" t="s">
        <v>16</v>
      </c>
      <c r="D7" s="2" t="s">
        <v>23</v>
      </c>
      <c r="E7" s="2" t="s">
        <v>14</v>
      </c>
      <c r="F7" s="2" t="s">
        <v>15</v>
      </c>
      <c r="G7" s="2">
        <v>4</v>
      </c>
      <c r="H7" s="2">
        <v>120</v>
      </c>
      <c r="I7" s="2">
        <f t="shared" si="0"/>
        <v>480</v>
      </c>
      <c r="J7" s="2">
        <f t="shared" si="1"/>
        <v>0</v>
      </c>
      <c r="K7" s="2">
        <f>SUMIF(E:E,"South",I:I)</f>
        <v>51800</v>
      </c>
    </row>
    <row r="8" spans="1:11" x14ac:dyDescent="0.35">
      <c r="A8" s="2">
        <v>7</v>
      </c>
      <c r="B8" s="3">
        <v>46118</v>
      </c>
      <c r="C8" s="2" t="s">
        <v>8</v>
      </c>
      <c r="D8" s="2" t="s">
        <v>24</v>
      </c>
      <c r="E8" s="2" t="s">
        <v>10</v>
      </c>
      <c r="F8" s="2" t="s">
        <v>18</v>
      </c>
      <c r="G8" s="2">
        <v>2</v>
      </c>
      <c r="H8" s="2">
        <v>2500</v>
      </c>
      <c r="I8" s="2">
        <f t="shared" si="0"/>
        <v>5000</v>
      </c>
      <c r="J8" s="2">
        <f t="shared" si="1"/>
        <v>0</v>
      </c>
      <c r="K8" s="2">
        <f>SUMIF(E:E,"South",I:I)</f>
        <v>51800</v>
      </c>
    </row>
    <row r="9" spans="1:11" x14ac:dyDescent="0.35">
      <c r="A9" s="2">
        <v>8</v>
      </c>
      <c r="B9" s="3">
        <v>46119</v>
      </c>
      <c r="C9" s="2" t="s">
        <v>12</v>
      </c>
      <c r="D9" s="2" t="s">
        <v>25</v>
      </c>
      <c r="E9" s="2" t="s">
        <v>20</v>
      </c>
      <c r="F9" s="2" t="s">
        <v>11</v>
      </c>
      <c r="G9" s="2">
        <v>5</v>
      </c>
      <c r="H9" s="2">
        <v>500</v>
      </c>
      <c r="I9" s="2">
        <f t="shared" si="0"/>
        <v>2500</v>
      </c>
      <c r="J9" s="2">
        <f t="shared" si="1"/>
        <v>0</v>
      </c>
      <c r="K9" s="2">
        <f>SUMIF(E:E,"West",I:I)</f>
        <v>62225</v>
      </c>
    </row>
    <row r="10" spans="1:11" x14ac:dyDescent="0.35">
      <c r="A10" s="2">
        <v>9</v>
      </c>
      <c r="B10" s="3">
        <v>46120</v>
      </c>
      <c r="C10" s="2" t="s">
        <v>16</v>
      </c>
      <c r="D10" s="2" t="s">
        <v>26</v>
      </c>
      <c r="E10" s="2" t="s">
        <v>22</v>
      </c>
      <c r="F10" s="2" t="s">
        <v>15</v>
      </c>
      <c r="G10" s="2">
        <v>6</v>
      </c>
      <c r="H10" s="2">
        <v>40</v>
      </c>
      <c r="I10" s="2">
        <f t="shared" si="0"/>
        <v>240</v>
      </c>
      <c r="J10" s="2">
        <f t="shared" si="1"/>
        <v>0</v>
      </c>
      <c r="K10" s="2">
        <f>SUMIF(E:E,"East",I:I)</f>
        <v>33740</v>
      </c>
    </row>
    <row r="11" spans="1:11" x14ac:dyDescent="0.35">
      <c r="A11" s="2">
        <v>10</v>
      </c>
      <c r="B11" s="3">
        <v>46121</v>
      </c>
      <c r="C11" s="2" t="s">
        <v>8</v>
      </c>
      <c r="D11" s="2" t="s">
        <v>27</v>
      </c>
      <c r="E11" s="2" t="s">
        <v>14</v>
      </c>
      <c r="F11" s="2" t="s">
        <v>18</v>
      </c>
      <c r="G11" s="2">
        <v>1</v>
      </c>
      <c r="H11" s="2">
        <v>30000</v>
      </c>
      <c r="I11" s="2">
        <f t="shared" si="0"/>
        <v>30000</v>
      </c>
      <c r="J11" s="2">
        <f t="shared" si="1"/>
        <v>0</v>
      </c>
      <c r="K11" s="2">
        <f>SUMIF(E:E,"North",I:I)</f>
        <v>77030</v>
      </c>
    </row>
    <row r="12" spans="1:11" x14ac:dyDescent="0.35">
      <c r="A12" s="2">
        <v>11</v>
      </c>
      <c r="B12" s="3">
        <v>46122</v>
      </c>
      <c r="C12" s="2" t="s">
        <v>12</v>
      </c>
      <c r="D12" s="2" t="s">
        <v>28</v>
      </c>
      <c r="E12" s="2" t="s">
        <v>10</v>
      </c>
      <c r="F12" s="2" t="s">
        <v>11</v>
      </c>
      <c r="G12" s="2">
        <v>1</v>
      </c>
      <c r="H12" s="2">
        <v>2500</v>
      </c>
      <c r="I12" s="2">
        <f t="shared" si="0"/>
        <v>2500</v>
      </c>
      <c r="J12" s="2">
        <f t="shared" si="1"/>
        <v>0</v>
      </c>
      <c r="K12" s="2">
        <f>SUMIF(E:E,"South",I:I)</f>
        <v>51800</v>
      </c>
    </row>
    <row r="13" spans="1:11" x14ac:dyDescent="0.35">
      <c r="A13" s="2">
        <v>12</v>
      </c>
      <c r="B13" s="3">
        <v>46123</v>
      </c>
      <c r="C13" s="2" t="s">
        <v>16</v>
      </c>
      <c r="D13" s="2" t="s">
        <v>29</v>
      </c>
      <c r="E13" s="2" t="s">
        <v>20</v>
      </c>
      <c r="F13" s="2" t="s">
        <v>15</v>
      </c>
      <c r="G13" s="2">
        <v>3</v>
      </c>
      <c r="H13" s="2">
        <v>50</v>
      </c>
      <c r="I13" s="2">
        <f t="shared" si="0"/>
        <v>150</v>
      </c>
      <c r="J13" s="2">
        <f t="shared" si="1"/>
        <v>0</v>
      </c>
      <c r="K13" s="2">
        <f>SUMIF(E:E,"West",I:I)</f>
        <v>62225</v>
      </c>
    </row>
    <row r="14" spans="1:11" x14ac:dyDescent="0.35">
      <c r="A14" s="2">
        <v>13</v>
      </c>
      <c r="B14" s="3">
        <v>46124</v>
      </c>
      <c r="C14" s="2" t="s">
        <v>8</v>
      </c>
      <c r="D14" s="2" t="s">
        <v>30</v>
      </c>
      <c r="E14" s="2" t="s">
        <v>22</v>
      </c>
      <c r="F14" s="2" t="s">
        <v>18</v>
      </c>
      <c r="G14" s="2">
        <v>2</v>
      </c>
      <c r="H14" s="2">
        <v>12000</v>
      </c>
      <c r="I14" s="2">
        <f t="shared" si="0"/>
        <v>24000</v>
      </c>
      <c r="J14" s="2">
        <f t="shared" si="1"/>
        <v>0</v>
      </c>
      <c r="K14" s="2">
        <f>SUMIF(E:E,"East",I:I)</f>
        <v>33740</v>
      </c>
    </row>
    <row r="15" spans="1:11" x14ac:dyDescent="0.35">
      <c r="A15" s="2">
        <v>14</v>
      </c>
      <c r="B15" s="3">
        <v>46125</v>
      </c>
      <c r="C15" s="2" t="s">
        <v>12</v>
      </c>
      <c r="D15" s="2" t="s">
        <v>31</v>
      </c>
      <c r="E15" s="2" t="s">
        <v>14</v>
      </c>
      <c r="F15" s="2" t="s">
        <v>11</v>
      </c>
      <c r="G15" s="2">
        <v>2</v>
      </c>
      <c r="H15" s="2">
        <v>2000</v>
      </c>
      <c r="I15" s="2">
        <f t="shared" si="0"/>
        <v>4000</v>
      </c>
      <c r="J15" s="2">
        <f t="shared" si="1"/>
        <v>0</v>
      </c>
      <c r="K15" s="2">
        <f>SUMIF(E:E,"North",I:I)</f>
        <v>77030</v>
      </c>
    </row>
    <row r="16" spans="1:11" x14ac:dyDescent="0.35">
      <c r="A16" s="2">
        <v>15</v>
      </c>
      <c r="B16" s="3">
        <v>46126</v>
      </c>
      <c r="C16" s="2" t="s">
        <v>16</v>
      </c>
      <c r="D16" s="2" t="s">
        <v>32</v>
      </c>
      <c r="E16" s="2" t="s">
        <v>10</v>
      </c>
      <c r="F16" s="2" t="s">
        <v>15</v>
      </c>
      <c r="G16" s="2">
        <v>10</v>
      </c>
      <c r="H16" s="2">
        <v>20</v>
      </c>
      <c r="I16" s="2">
        <f t="shared" si="0"/>
        <v>200</v>
      </c>
      <c r="J16" s="2">
        <f t="shared" si="1"/>
        <v>0</v>
      </c>
      <c r="K16" s="2">
        <f>SUMIF(E:E,"South",I:I)</f>
        <v>51800</v>
      </c>
    </row>
    <row r="17" spans="1:11" x14ac:dyDescent="0.35">
      <c r="A17" s="2">
        <v>16</v>
      </c>
      <c r="B17" s="3">
        <v>46127</v>
      </c>
      <c r="C17" s="2" t="s">
        <v>8</v>
      </c>
      <c r="D17" s="2" t="s">
        <v>33</v>
      </c>
      <c r="E17" s="2" t="s">
        <v>20</v>
      </c>
      <c r="F17" s="2" t="s">
        <v>18</v>
      </c>
      <c r="G17" s="2">
        <v>4</v>
      </c>
      <c r="H17" s="2">
        <v>700</v>
      </c>
      <c r="I17" s="2">
        <f t="shared" si="0"/>
        <v>2800</v>
      </c>
      <c r="J17" s="2">
        <f t="shared" si="1"/>
        <v>0</v>
      </c>
      <c r="K17" s="2">
        <f>SUMIF(E:E,"West",I:I)</f>
        <v>62225</v>
      </c>
    </row>
    <row r="18" spans="1:11" x14ac:dyDescent="0.35">
      <c r="A18" s="2">
        <v>17</v>
      </c>
      <c r="B18" s="3">
        <v>46128</v>
      </c>
      <c r="C18" s="2" t="s">
        <v>12</v>
      </c>
      <c r="D18" s="2" t="s">
        <v>34</v>
      </c>
      <c r="E18" s="2" t="s">
        <v>22</v>
      </c>
      <c r="F18" s="2" t="s">
        <v>15</v>
      </c>
      <c r="G18" s="2">
        <v>3</v>
      </c>
      <c r="H18" s="2">
        <v>300</v>
      </c>
      <c r="I18" s="2">
        <f t="shared" si="0"/>
        <v>900</v>
      </c>
      <c r="J18" s="2">
        <f t="shared" si="1"/>
        <v>0</v>
      </c>
      <c r="K18" s="2">
        <f>SUMIF(E:E,"East",I:I)</f>
        <v>33740</v>
      </c>
    </row>
    <row r="19" spans="1:11" x14ac:dyDescent="0.35">
      <c r="A19" s="2">
        <v>18</v>
      </c>
      <c r="B19" s="3">
        <v>46129</v>
      </c>
      <c r="C19" s="2" t="s">
        <v>16</v>
      </c>
      <c r="D19" s="2" t="s">
        <v>35</v>
      </c>
      <c r="E19" s="2" t="s">
        <v>14</v>
      </c>
      <c r="F19" s="2" t="s">
        <v>18</v>
      </c>
      <c r="G19" s="2">
        <v>5</v>
      </c>
      <c r="H19" s="2">
        <v>30</v>
      </c>
      <c r="I19" s="2">
        <f t="shared" si="0"/>
        <v>150</v>
      </c>
      <c r="J19" s="2">
        <f t="shared" si="1"/>
        <v>0</v>
      </c>
      <c r="K19" s="2">
        <f>SUMIF(E:E,"North",I:I)</f>
        <v>77030</v>
      </c>
    </row>
    <row r="20" spans="1:11" x14ac:dyDescent="0.35">
      <c r="A20" s="2">
        <v>19</v>
      </c>
      <c r="B20" s="3">
        <v>46130</v>
      </c>
      <c r="C20" s="2" t="s">
        <v>8</v>
      </c>
      <c r="D20" s="2" t="s">
        <v>36</v>
      </c>
      <c r="E20" s="2" t="s">
        <v>10</v>
      </c>
      <c r="F20" s="2" t="s">
        <v>11</v>
      </c>
      <c r="G20" s="2">
        <v>2</v>
      </c>
      <c r="H20" s="2">
        <v>1500</v>
      </c>
      <c r="I20" s="2">
        <f t="shared" si="0"/>
        <v>3000</v>
      </c>
      <c r="J20" s="2">
        <f t="shared" si="1"/>
        <v>0</v>
      </c>
      <c r="K20" s="2">
        <f>SUMIF(E:E,"South",I:I)</f>
        <v>51800</v>
      </c>
    </row>
    <row r="21" spans="1:11" x14ac:dyDescent="0.35">
      <c r="A21" s="2">
        <v>20</v>
      </c>
      <c r="B21" s="3">
        <v>46131</v>
      </c>
      <c r="C21" s="2" t="s">
        <v>12</v>
      </c>
      <c r="D21" s="2" t="s">
        <v>37</v>
      </c>
      <c r="E21" s="2" t="s">
        <v>20</v>
      </c>
      <c r="F21" s="2" t="s">
        <v>15</v>
      </c>
      <c r="G21" s="2">
        <v>4</v>
      </c>
      <c r="H21" s="2">
        <v>400</v>
      </c>
      <c r="I21" s="2">
        <f t="shared" si="0"/>
        <v>1600</v>
      </c>
      <c r="J21" s="2">
        <f t="shared" si="1"/>
        <v>0</v>
      </c>
      <c r="K21" s="2">
        <f>SUMIF(E:E,"West",I:I)</f>
        <v>62225</v>
      </c>
    </row>
    <row r="22" spans="1:11" x14ac:dyDescent="0.35">
      <c r="A22" s="2">
        <v>21</v>
      </c>
      <c r="B22" s="3">
        <v>46132</v>
      </c>
      <c r="C22" s="2" t="s">
        <v>16</v>
      </c>
      <c r="D22" s="2" t="s">
        <v>38</v>
      </c>
      <c r="E22" s="2" t="s">
        <v>22</v>
      </c>
      <c r="F22" s="2" t="s">
        <v>18</v>
      </c>
      <c r="G22" s="2">
        <v>6</v>
      </c>
      <c r="H22" s="2">
        <v>100</v>
      </c>
      <c r="I22" s="2">
        <f t="shared" si="0"/>
        <v>600</v>
      </c>
      <c r="J22" s="2">
        <f t="shared" si="1"/>
        <v>0</v>
      </c>
      <c r="K22" s="2">
        <f>SUMIF(E:E,"East",I:I)</f>
        <v>33740</v>
      </c>
    </row>
    <row r="23" spans="1:11" x14ac:dyDescent="0.35">
      <c r="A23" s="2">
        <v>22</v>
      </c>
      <c r="B23" s="3">
        <v>46133</v>
      </c>
      <c r="C23" s="2" t="s">
        <v>8</v>
      </c>
      <c r="D23" s="2" t="s">
        <v>39</v>
      </c>
      <c r="E23" s="2" t="s">
        <v>14</v>
      </c>
      <c r="F23" s="2" t="s">
        <v>11</v>
      </c>
      <c r="G23" s="2">
        <v>1</v>
      </c>
      <c r="H23" s="2">
        <v>40000</v>
      </c>
      <c r="I23" s="2">
        <f t="shared" si="0"/>
        <v>40000</v>
      </c>
      <c r="J23" s="2">
        <f t="shared" si="1"/>
        <v>0</v>
      </c>
      <c r="K23" s="2">
        <f>SUMIF(E:E,"North",I:I)</f>
        <v>77030</v>
      </c>
    </row>
    <row r="24" spans="1:11" x14ac:dyDescent="0.35">
      <c r="A24" s="2">
        <v>23</v>
      </c>
      <c r="B24" s="3">
        <v>46134</v>
      </c>
      <c r="C24" s="2" t="s">
        <v>12</v>
      </c>
      <c r="D24" s="2" t="s">
        <v>40</v>
      </c>
      <c r="E24" s="2" t="s">
        <v>10</v>
      </c>
      <c r="F24" s="2" t="s">
        <v>15</v>
      </c>
      <c r="G24" s="2">
        <v>8</v>
      </c>
      <c r="H24" s="2">
        <v>100</v>
      </c>
      <c r="I24" s="2">
        <f t="shared" si="0"/>
        <v>800</v>
      </c>
      <c r="J24" s="2">
        <f t="shared" si="1"/>
        <v>0</v>
      </c>
      <c r="K24" s="2">
        <f>SUMIF(E:E,"South",I:I)</f>
        <v>51800</v>
      </c>
    </row>
    <row r="25" spans="1:11" x14ac:dyDescent="0.35">
      <c r="A25" s="2">
        <v>24</v>
      </c>
      <c r="B25" s="3">
        <v>46135</v>
      </c>
      <c r="C25" s="2" t="s">
        <v>16</v>
      </c>
      <c r="D25" s="2" t="s">
        <v>41</v>
      </c>
      <c r="E25" s="2" t="s">
        <v>20</v>
      </c>
      <c r="F25" s="2" t="s">
        <v>18</v>
      </c>
      <c r="G25" s="2">
        <v>7</v>
      </c>
      <c r="H25" s="2">
        <v>25</v>
      </c>
      <c r="I25" s="2">
        <f t="shared" si="0"/>
        <v>175</v>
      </c>
      <c r="J25" s="2">
        <f t="shared" si="1"/>
        <v>0</v>
      </c>
      <c r="K25" s="2">
        <f>SUMIF(E:E,"West",I:I)</f>
        <v>62225</v>
      </c>
    </row>
    <row r="26" spans="1:11" x14ac:dyDescent="0.35">
      <c r="A26" s="2">
        <v>25</v>
      </c>
      <c r="B26" s="3">
        <v>46136</v>
      </c>
      <c r="C26" s="2" t="s">
        <v>8</v>
      </c>
      <c r="D26" s="2" t="s">
        <v>42</v>
      </c>
      <c r="E26" s="2" t="s">
        <v>22</v>
      </c>
      <c r="F26" s="2" t="s">
        <v>11</v>
      </c>
      <c r="G26" s="2">
        <v>1</v>
      </c>
      <c r="H26" s="2">
        <v>5000</v>
      </c>
      <c r="I26" s="2">
        <f t="shared" si="0"/>
        <v>5000</v>
      </c>
      <c r="J26" s="2">
        <f t="shared" si="1"/>
        <v>0</v>
      </c>
      <c r="K26" s="2">
        <f>SUMIF(E:E,"East",I:I)</f>
        <v>33740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</dc:creator>
  <cp:lastModifiedBy>mouni</cp:lastModifiedBy>
  <dcterms:created xsi:type="dcterms:W3CDTF">2026-04-15T15:25:04Z</dcterms:created>
  <dcterms:modified xsi:type="dcterms:W3CDTF">2026-04-15T16:16:30Z</dcterms:modified>
</cp:coreProperties>
</file>